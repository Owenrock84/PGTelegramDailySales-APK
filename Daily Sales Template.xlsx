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rE5mkaxlJr+Vr57szN3IaspNhBWj72xg85FL5EFtAI="/>
    </ext>
  </extLst>
</workbook>
</file>

<file path=xl/sharedStrings.xml><?xml version="1.0" encoding="utf-8"?>
<sst xmlns="http://schemas.openxmlformats.org/spreadsheetml/2006/main" count="13" uniqueCount="8">
  <si>
    <t>Daily Sales Update</t>
  </si>
  <si>
    <t>Total bet Amount</t>
  </si>
  <si>
    <t>Total win Amount</t>
  </si>
  <si>
    <t>total hand</t>
  </si>
  <si>
    <t>gross sales</t>
  </si>
  <si>
    <t>profit</t>
  </si>
  <si>
    <t>yesterday</t>
  </si>
  <si>
    <t>MTD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</si>
</sst>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M]#,##0.00"/>
    <numFmt numFmtId="165" formatCode="dddd&quot;, &quot;mmmm&quot; &quot;d&quot;, &quot;yyyy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FFFF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12121"/>
        <bgColor rgb="FF212121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horizontal="left" vertical="bottom"/>
    </xf>
    <xf borderId="0" fillId="2" fontId="2" numFmtId="3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25"/>
    <col customWidth="1" min="3" max="3" width="15.75"/>
    <col customWidth="1" min="4" max="6" width="12.63"/>
    <col customWidth="1" min="7" max="7" width="9.5"/>
    <col customWidth="1" min="8" max="8" width="36.13"/>
    <col customWidth="1" min="9" max="9" width="66.0"/>
  </cols>
  <sheetData>
    <row r="1" ht="15.75" customHeight="1">
      <c r="A1" s="1" t="s">
        <v>0</v>
      </c>
    </row>
    <row r="2" ht="15.75" customHeight="1">
      <c r="A2" s="2"/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 t="s">
        <v>6</v>
      </c>
      <c r="B3" s="3">
        <v>928626.85</v>
      </c>
      <c r="C3" s="3">
        <v>928906.84</v>
      </c>
      <c r="D3" s="4">
        <v>467932.0</v>
      </c>
      <c r="E3" s="5">
        <v>-280.02</v>
      </c>
      <c r="F3" s="5">
        <v>-11.2</v>
      </c>
      <c r="G3" s="2"/>
      <c r="I3" s="6">
        <f>TODAY()</f>
        <v>46250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 t="s">
        <v>7</v>
      </c>
      <c r="B4" s="3">
        <v>4113813.94</v>
      </c>
      <c r="C4" s="3">
        <v>3798204.07</v>
      </c>
      <c r="D4" s="4">
        <v>6434341.0</v>
      </c>
      <c r="E4" s="5">
        <v>315609.89</v>
      </c>
      <c r="F4" s="5">
        <v>12624.4</v>
      </c>
      <c r="G4" s="2"/>
      <c r="H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2"/>
      <c r="C5" s="2"/>
      <c r="D5" s="2"/>
      <c r="E5" s="2"/>
      <c r="F5" s="2"/>
      <c r="G5" s="2"/>
      <c r="H5" s="2"/>
      <c r="I5" s="2" t="str">
        <f>"Hand : "&amp;  TEXT(D3, "#,##0") &amp;" Times✅"</f>
        <v>Hand : 467,932 Times✅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2"/>
      <c r="C6" s="2"/>
      <c r="D6" s="2"/>
      <c r="E6" s="2"/>
      <c r="F6" s="2"/>
      <c r="G6" s="2"/>
      <c r="H6" s="2"/>
      <c r="I6" s="2" t="str">
        <f>"Stakes : MYR "&amp; TEXT(B3, "#,##0") &amp;" ✅"</f>
        <v>Stakes : MYR 928,627 ✅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2"/>
      <c r="C7" s="2"/>
      <c r="D7" s="2"/>
      <c r="E7" s="2"/>
      <c r="F7" s="2"/>
      <c r="G7" s="2"/>
      <c r="H7" s="2"/>
      <c r="I7" s="2" t="str">
        <f>"Win Amount : MYR "&amp; TEXT(C3, "#,##0") &amp;" ✅"</f>
        <v>Win Amount : MYR 928,907 ✅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1" t="s">
        <v>1</v>
      </c>
      <c r="C8" s="1" t="s">
        <v>2</v>
      </c>
      <c r="D8" s="2" t="s">
        <v>3</v>
      </c>
      <c r="E8" s="2" t="s">
        <v>4</v>
      </c>
      <c r="F8" s="2" t="s">
        <v>5</v>
      </c>
      <c r="G8" s="2"/>
      <c r="H8" s="2"/>
      <c r="I8" s="2" t="str">
        <f>"Company W/L : MYR "&amp; TEXT(E3, "#,##0") &amp;" ✅"</f>
        <v>Company W/L : MYR -280 ✅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7">
        <v>259872.0</v>
      </c>
      <c r="C9" s="7">
        <v>221806.0</v>
      </c>
      <c r="D9" s="7">
        <v>409417.0</v>
      </c>
      <c r="E9" s="7">
        <v>38066.0</v>
      </c>
      <c r="F9" s="7">
        <v>1523.0</v>
      </c>
      <c r="G9" s="2"/>
      <c r="H9" s="2"/>
      <c r="I9" s="2" t="str">
        <f>"GGR (4%) : MYR "&amp; TEXT(F3, "#,##0") &amp;" ✅"</f>
        <v>GGR (4%) : MYR -11 ✅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 t="str">
        <f>"MTD Hand : " &amp; TEXT(D4, "#,##0") &amp; " Times✅"</f>
        <v>MTD Hand : 6,434,341 Times✅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 t="str">
        <f>"MTD Stakes : MYR " &amp; TEXT(B4, "#,##0") &amp; " ✅"</f>
        <v>MTD Stakes : MYR 4,113,814 ✅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 t="str">
        <f>"MTD Win Amount : MYR " &amp; TEXT(C4, "#,##0") &amp; " ✅"</f>
        <v>MTD Win Amount : MYR 3,798,204 ✅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 t="str">
        <f>"MTD Company W/L : MYR " &amp; TEXT(E4, "#,##0") &amp; " ✅"</f>
        <v>MTD Company W/L : MYR 315,610 ✅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 t="str">
        <f>"MTD GGR (4%) : MYR " &amp; TEXT(F4, "#,##0") &amp; " ✅"</f>
        <v>MTD GGR (4%) : MYR 12,624 ✅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